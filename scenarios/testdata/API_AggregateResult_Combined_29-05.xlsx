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aruna_krishnamurthy_accenture_com/Documents/Desktop/"/>
    </mc:Choice>
  </mc:AlternateContent>
  <xr:revisionPtr revIDLastSave="109" documentId="8_{2BF8CDC9-64E2-4B09-8444-E140E4EAB85D}" xr6:coauthVersionLast="47" xr6:coauthVersionMax="47" xr10:uidLastSave="{1021E0A8-7B6E-456D-B71C-3BA9BE4FA6CB}"/>
  <bookViews>
    <workbookView xWindow="-120" yWindow="-120" windowWidth="29040" windowHeight="15720" xr2:uid="{DE986536-961B-44B9-A546-379EB5FA9FF8}"/>
  </bookViews>
  <sheets>
    <sheet name="UAT_UI_20260527_12463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 a="1"/>
  <c r="F14" i="1" s="1"/>
  <c r="F15" i="1" a="1"/>
  <c r="F15" i="1" s="1"/>
  <c r="F16" i="1" a="1"/>
  <c r="F16" i="1"/>
  <c r="F17" i="1" a="1"/>
  <c r="F17" i="1" s="1"/>
  <c r="F13" i="1" a="1"/>
  <c r="F13" i="1" s="1"/>
  <c r="E14" i="1" a="1"/>
  <c r="E14" i="1" s="1"/>
  <c r="E15" i="1" a="1"/>
  <c r="E15" i="1" s="1"/>
  <c r="E16" i="1" a="1"/>
  <c r="E16" i="1"/>
  <c r="E17" i="1" a="1"/>
  <c r="E17" i="1" s="1"/>
  <c r="E13" i="1" a="1"/>
  <c r="E1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<sst xmlns="http://schemas.openxmlformats.org/spreadsheetml/2006/main" count="30" uniqueCount="25">
  <si>
    <t>Timestamp</t>
  </si>
  <si>
    <t>SamplerEvent</t>
  </si>
  <si>
    <t>Performance Metrics - 90th &amp; 95th Percentiles</t>
  </si>
  <si>
    <t>Load Time (ms)</t>
  </si>
  <si>
    <t>Sampler Event</t>
  </si>
  <si>
    <t>90th %</t>
  </si>
  <si>
    <t>95th %</t>
  </si>
  <si>
    <t>User ID</t>
  </si>
  <si>
    <t>LAPS_DocumentRetrieval</t>
  </si>
  <si>
    <t>LAPS_FetchBankDetails</t>
  </si>
  <si>
    <t>LAPS_Downloadthefile</t>
  </si>
  <si>
    <t>LAPS_UpdateBankDetails</t>
  </si>
  <si>
    <t>LAPS_Confirmbankdetails</t>
  </si>
  <si>
    <t>Samples</t>
  </si>
  <si>
    <t>Average</t>
  </si>
  <si>
    <t>Median</t>
  </si>
  <si>
    <t>90% Line</t>
  </si>
  <si>
    <t>95% Line</t>
  </si>
  <si>
    <t>99% Line</t>
  </si>
  <si>
    <t>Min</t>
  </si>
  <si>
    <t>Max</t>
  </si>
  <si>
    <t>Error %</t>
  </si>
  <si>
    <t>Throughput</t>
  </si>
  <si>
    <t>Received KB/sec</t>
  </si>
  <si>
    <t>Sent KB/sec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</si>
</sst>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rgb="FF2F5496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2F549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9EDF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22" fontId="0" fillId="0" borderId="0" xfId="0" applyNumberFormat="1"/>
    <xf numFmtId="0" fontId="19" fillId="34" borderId="10" xfId="0" applyFont="1" applyFill="1" applyBorder="1" applyAlignment="1">
      <alignment horizontal="center"/>
    </xf>
    <xf numFmtId="2" fontId="0" fillId="35" borderId="10" xfId="0" applyNumberFormat="1" applyFill="1" applyBorder="1" applyAlignment="1">
      <alignment horizontal="center"/>
    </xf>
    <xf numFmtId="10" fontId="0" fillId="0" borderId="0" xfId="0" applyNumberFormat="1"/>
    <xf numFmtId="0" fontId="0" fillId="0" borderId="10" xfId="0" applyBorder="1"/>
    <xf numFmtId="0" fontId="19" fillId="33" borderId="10" xfId="0" applyFont="1" applyFill="1" applyBorder="1" applyAlignment="1">
      <alignment horizontal="center"/>
    </xf>
    <xf numFmtId="0" fontId="18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0A4C9-B453-4C71-A53A-65AEC4C93D06}">
  <dimension ref="A1:O17"/>
  <sheetViews>
    <sheetView tabSelected="1" topLeftCell="B1" zoomScale="80" zoomScaleNormal="80" workbookViewId="0">
      <pane ySplit="1" topLeftCell="A2" activePane="bottomLeft" state="frozen"/>
      <selection pane="bottomLeft" activeCell="C1" sqref="C1:G1048576"/>
    </sheetView>
  </sheetViews>
  <sheetFormatPr defaultRowHeight="15" x14ac:dyDescent="0.25"/>
  <cols>
    <col min="1" max="1" width="29.28515625" customWidth="1"/>
    <col min="2" max="2" width="28.85546875" bestFit="1" customWidth="1"/>
    <col min="3" max="3" width="23.85546875" bestFit="1" customWidth="1"/>
    <col min="4" max="4" width="25.140625" customWidth="1"/>
    <col min="5" max="5" width="27" customWidth="1"/>
    <col min="6" max="6" width="40" customWidth="1"/>
    <col min="7" max="7" width="39.5703125" customWidth="1"/>
    <col min="8" max="8" width="20.140625" customWidth="1"/>
    <col min="9" max="9" width="20" customWidth="1"/>
    <col min="10" max="10" width="19" customWidth="1"/>
    <col min="11" max="11" width="23.140625" customWidth="1"/>
    <col min="12" max="12" width="8" customWidth="1"/>
  </cols>
  <sheetData>
    <row r="1" spans="1:15" x14ac:dyDescent="0.25">
      <c r="A1" t="s">
        <v>0</v>
      </c>
      <c r="B1" t="s">
        <v>7</v>
      </c>
      <c r="C1" t="s">
        <v>1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</row>
    <row r="2" spans="1:15" x14ac:dyDescent="0.25">
      <c r="A2" s="1">
        <v>46171.488194444442</v>
      </c>
      <c r="C2" t="s">
        <v>8</v>
      </c>
      <c r="D2">
        <v>1128</v>
      </c>
      <c r="E2">
        <v>607</v>
      </c>
      <c r="F2">
        <v>461</v>
      </c>
      <c r="G2">
        <v>991</v>
      </c>
      <c r="H2">
        <v>1376</v>
      </c>
      <c r="I2">
        <v>3114</v>
      </c>
      <c r="J2">
        <v>262</v>
      </c>
      <c r="K2">
        <v>4264</v>
      </c>
      <c r="L2" s="4">
        <v>5.3E-3</v>
      </c>
      <c r="M2">
        <v>0.33096999999999999</v>
      </c>
      <c r="N2">
        <v>0.5</v>
      </c>
      <c r="O2">
        <v>0.68</v>
      </c>
    </row>
    <row r="3" spans="1:15" x14ac:dyDescent="0.25">
      <c r="A3" s="1">
        <v>46171.488194444442</v>
      </c>
      <c r="C3" t="s">
        <v>9</v>
      </c>
      <c r="D3">
        <v>1128</v>
      </c>
      <c r="E3">
        <v>605</v>
      </c>
      <c r="F3">
        <v>449</v>
      </c>
      <c r="G3">
        <v>1036</v>
      </c>
      <c r="H3">
        <v>1373</v>
      </c>
      <c r="I3">
        <v>3335</v>
      </c>
      <c r="J3">
        <v>256</v>
      </c>
      <c r="K3">
        <v>4575</v>
      </c>
      <c r="L3" s="4">
        <v>0</v>
      </c>
      <c r="M3">
        <v>0.33101000000000003</v>
      </c>
      <c r="N3">
        <v>0.31</v>
      </c>
      <c r="O3">
        <v>0.68</v>
      </c>
    </row>
    <row r="4" spans="1:15" x14ac:dyDescent="0.25">
      <c r="A4" s="1">
        <v>46171.488194444442</v>
      </c>
      <c r="C4" t="s">
        <v>10</v>
      </c>
      <c r="D4">
        <v>376</v>
      </c>
      <c r="E4">
        <v>633</v>
      </c>
      <c r="F4">
        <v>490</v>
      </c>
      <c r="G4">
        <v>900</v>
      </c>
      <c r="H4">
        <v>1260</v>
      </c>
      <c r="I4">
        <v>3620</v>
      </c>
      <c r="J4">
        <v>290</v>
      </c>
      <c r="K4">
        <v>4915</v>
      </c>
      <c r="L4" s="4">
        <v>0</v>
      </c>
      <c r="M4">
        <v>0.11028</v>
      </c>
      <c r="N4">
        <v>10.25</v>
      </c>
      <c r="O4">
        <v>0.22</v>
      </c>
    </row>
    <row r="5" spans="1:15" x14ac:dyDescent="0.25">
      <c r="A5" s="1">
        <v>46171.488194444442</v>
      </c>
      <c r="C5" t="s">
        <v>11</v>
      </c>
      <c r="D5">
        <v>372</v>
      </c>
      <c r="E5">
        <v>859</v>
      </c>
      <c r="F5">
        <v>804</v>
      </c>
      <c r="G5">
        <v>955</v>
      </c>
      <c r="H5">
        <v>1181</v>
      </c>
      <c r="I5">
        <v>2202</v>
      </c>
      <c r="J5">
        <v>155</v>
      </c>
      <c r="K5">
        <v>5251</v>
      </c>
      <c r="L5" s="4">
        <v>1.34E-2</v>
      </c>
      <c r="M5">
        <v>0.10961</v>
      </c>
      <c r="N5">
        <v>0.08</v>
      </c>
      <c r="O5">
        <v>0.25</v>
      </c>
    </row>
    <row r="6" spans="1:15" x14ac:dyDescent="0.25">
      <c r="A6" s="1">
        <v>46171.488194444442</v>
      </c>
      <c r="C6" t="s">
        <v>12</v>
      </c>
      <c r="D6">
        <v>376</v>
      </c>
      <c r="E6">
        <v>620</v>
      </c>
      <c r="F6">
        <v>436</v>
      </c>
      <c r="G6">
        <v>1016</v>
      </c>
      <c r="H6">
        <v>1384</v>
      </c>
      <c r="I6">
        <v>3623</v>
      </c>
      <c r="J6">
        <v>262</v>
      </c>
      <c r="K6">
        <v>4753</v>
      </c>
      <c r="L6" s="4">
        <v>7.4499999999999997E-2</v>
      </c>
      <c r="M6">
        <v>0.11033999999999999</v>
      </c>
      <c r="N6">
        <v>0.08</v>
      </c>
      <c r="O6">
        <v>0.24</v>
      </c>
    </row>
    <row r="10" spans="1:15" ht="18.75" x14ac:dyDescent="0.3">
      <c r="D10" s="7" t="s">
        <v>2</v>
      </c>
      <c r="E10" s="7"/>
      <c r="F10" s="7"/>
    </row>
    <row r="11" spans="1:15" x14ac:dyDescent="0.25">
      <c r="D11" s="5"/>
      <c r="E11" s="6" t="s">
        <v>3</v>
      </c>
      <c r="F11" s="6"/>
    </row>
    <row r="12" spans="1:15" x14ac:dyDescent="0.25">
      <c r="D12" s="2" t="s">
        <v>4</v>
      </c>
      <c r="E12" s="2" t="s">
        <v>5</v>
      </c>
      <c r="F12" s="2" t="s">
        <v>6</v>
      </c>
    </row>
    <row r="13" spans="1:15" x14ac:dyDescent="0.25">
      <c r="D13" s="5" t="s">
        <v>8</v>
      </c>
      <c r="E13" s="3" cm="1">
        <f t="array" ref="E13">_xlfn.PERCENTILE.INC(IF($C$2:$C$6=D13,$G$2:$G$6),0.9)</f>
        <v>991</v>
      </c>
      <c r="F13" s="3" cm="1">
        <f t="array" ref="F13">_xlfn.PERCENTILE.INC(IF($C$2:$C$6=D13,$H$2:$H$6),0.95)</f>
        <v>1376</v>
      </c>
    </row>
    <row r="14" spans="1:15" x14ac:dyDescent="0.25">
      <c r="D14" s="5" t="s">
        <v>9</v>
      </c>
      <c r="E14" s="3" cm="1">
        <f t="array" ref="E14">_xlfn.PERCENTILE.INC(IF($C$2:$C$6=D14,$G$2:$G$6),0.9)</f>
        <v>1036</v>
      </c>
      <c r="F14" s="3" cm="1">
        <f t="array" ref="F14">_xlfn.PERCENTILE.INC(IF($C$2:$C$6=D14,$H$2:$H$6),0.95)</f>
        <v>1373</v>
      </c>
    </row>
    <row r="15" spans="1:15" x14ac:dyDescent="0.25">
      <c r="D15" s="5" t="s">
        <v>10</v>
      </c>
      <c r="E15" s="3" cm="1">
        <f t="array" ref="E15">_xlfn.PERCENTILE.INC(IF($C$2:$C$6=D15,$G$2:$G$6),0.9)</f>
        <v>900</v>
      </c>
      <c r="F15" s="3" cm="1">
        <f t="array" ref="F15">_xlfn.PERCENTILE.INC(IF($C$2:$C$6=D15,$H$2:$H$6),0.95)</f>
        <v>1260</v>
      </c>
    </row>
    <row r="16" spans="1:15" x14ac:dyDescent="0.25">
      <c r="D16" s="5" t="s">
        <v>11</v>
      </c>
      <c r="E16" s="3" cm="1">
        <f t="array" ref="E16">_xlfn.PERCENTILE.INC(IF($C$2:$C$6=D16,$G$2:$G$6),0.9)</f>
        <v>955</v>
      </c>
      <c r="F16" s="3" cm="1">
        <f t="array" ref="F16">_xlfn.PERCENTILE.INC(IF($C$2:$C$6=D16,$H$2:$H$6),0.95)</f>
        <v>1181</v>
      </c>
    </row>
    <row r="17" spans="4:6" x14ac:dyDescent="0.25">
      <c r="D17" s="5" t="s">
        <v>12</v>
      </c>
      <c r="E17" s="3" cm="1">
        <f t="array" ref="E17">_xlfn.PERCENTILE.INC(IF($C$2:$C$6=D17,$G$2:$G$6),0.9)</f>
        <v>1016</v>
      </c>
      <c r="F17" s="3" cm="1">
        <f t="array" ref="F17">_xlfn.PERCENTILE.INC(IF($C$2:$C$6=D17,$H$2:$H$6),0.95)</f>
        <v>1384</v>
      </c>
    </row>
  </sheetData>
  <mergeCells count="2">
    <mergeCell ref="E11:F11"/>
    <mergeCell ref="D10:F1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6b97c5-1c50-4177-be70-fd048630b823">
      <Terms xmlns="http://schemas.microsoft.com/office/infopath/2007/PartnerControls"/>
    </lcf76f155ced4ddcb4097134ff3c332f>
    <TaxCatchAll xmlns="926c6156-621d-4ef7-9ae7-229e63bed62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D1421FE778F747BB66A0F2AAEACE37" ma:contentTypeVersion="12" ma:contentTypeDescription="Create a new document." ma:contentTypeScope="" ma:versionID="caa163f6b5a7e07fa46f09bd3c5263cc">
  <xsd:schema xmlns:xsd="http://www.w3.org/2001/XMLSchema" xmlns:xs="http://www.w3.org/2001/XMLSchema" xmlns:p="http://schemas.microsoft.com/office/2006/metadata/properties" xmlns:ns2="496b97c5-1c50-4177-be70-fd048630b823" xmlns:ns3="926c6156-621d-4ef7-9ae7-229e63bed622" targetNamespace="http://schemas.microsoft.com/office/2006/metadata/properties" ma:root="true" ma:fieldsID="e8f08bb94834bb5c1886976ec5b1cba5" ns2:_="" ns3:_="">
    <xsd:import namespace="496b97c5-1c50-4177-be70-fd048630b823"/>
    <xsd:import namespace="926c6156-621d-4ef7-9ae7-229e63bed6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b97c5-1c50-4177-be70-fd048630b8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6c6156-621d-4ef7-9ae7-229e63bed62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920963c-7ae2-47a2-9137-6eda8228a7c7}" ma:internalName="TaxCatchAll" ma:showField="CatchAllData" ma:web="926c6156-621d-4ef7-9ae7-229e63bed6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9F5309-3758-4BA5-A27A-1EF63A90822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21F6E19-E8F6-4DEF-9A74-085CDC4D2237}">
  <ds:schemaRefs>
    <ds:schemaRef ds:uri="http://schemas.microsoft.com/office/2006/metadata/properties"/>
    <ds:schemaRef ds:uri="http://schemas.microsoft.com/office/infopath/2007/PartnerControls"/>
    <ds:schemaRef ds:uri="496b97c5-1c50-4177-be70-fd048630b823"/>
    <ds:schemaRef ds:uri="926c6156-621d-4ef7-9ae7-229e63bed622"/>
  </ds:schemaRefs>
</ds:datastoreItem>
</file>

<file path=customXml/itemProps3.xml><?xml version="1.0" encoding="utf-8"?>
<ds:datastoreItem xmlns:ds="http://schemas.openxmlformats.org/officeDocument/2006/customXml" ds:itemID="{329FC45B-A97E-4EFC-9E38-B7EE62157D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b97c5-1c50-4177-be70-fd048630b823"/>
    <ds:schemaRef ds:uri="926c6156-621d-4ef7-9ae7-229e63bed6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UAT_UI_20260527_124635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Krishnamurthy, Aruna</cp:lastModifiedBy>
  <cp:revision/>
  <dcterms:created xsi:type="dcterms:W3CDTF">2026-05-27T12:25:31Z</dcterms:created>
  <dcterms:modified xsi:type="dcterms:W3CDTF">2026-06-01T13:23:01Z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0x01010023D1421FE778F747BB66A0F2AAEACE37</vt:lpwstr>
  </property>
</Properties>
</file>